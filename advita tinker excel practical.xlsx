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K22" i="1"/>
  <c r="L22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8" i="1"/>
</calcChain>
</file>

<file path=xl/sharedStrings.xml><?xml version="1.0" encoding="utf-8"?>
<sst xmlns="http://schemas.openxmlformats.org/spreadsheetml/2006/main" count="40" uniqueCount="38">
  <si>
    <t>p1</t>
  </si>
  <si>
    <t>p2</t>
  </si>
  <si>
    <t>p3</t>
  </si>
  <si>
    <t>p4</t>
  </si>
  <si>
    <t>percent</t>
  </si>
  <si>
    <t>result</t>
  </si>
  <si>
    <t>Practical 1</t>
  </si>
  <si>
    <t>Practical 2</t>
  </si>
  <si>
    <t>Practical 3</t>
  </si>
  <si>
    <t>Practical 4</t>
  </si>
  <si>
    <t>ab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</si>
  <si>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</si>
  <si>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</si>
  <si>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</si>
  <si>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</si>
  <si>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</si>
  <si>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</si>
  <si>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</si>
  <si>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</si>
  <si>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</si>
  <si>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</si>
  <si>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</si>
  <si>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</si>
  <si>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</si>
  <si>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</si>
  <si>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</si>
  <si>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SR</t>
  </si>
  <si>
    <t>Name</t>
  </si>
  <si>
    <t>SUB1</t>
  </si>
  <si>
    <t>SUB2</t>
  </si>
  <si>
    <t>SUB3</t>
  </si>
  <si>
    <t>SUB4</t>
  </si>
  <si>
    <t>Total</t>
  </si>
  <si>
    <t>2.use reference only. Direct calculation are not allowed</t>
  </si>
  <si>
    <t>1. calculate p1 to p4  according to their preferences given</t>
  </si>
  <si>
    <t>3. Calculate total, percentage, result for the univerity</t>
  </si>
  <si>
    <t>4. calculte rank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</si>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</sst>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154" zoomScaleNormal="154" workbookViewId="0">
      <selection activeCell="H8" sqref="H8"/>
    </sheetView>
  </sheetViews>
  <sheetFormatPr defaultRowHeight="15" x14ac:dyDescent="0.25"/>
  <cols>
    <col min="8" max="10" width="10.28515625" bestFit="1" customWidth="1"/>
    <col min="11" max="11" width="15.5703125" customWidth="1"/>
  </cols>
  <sheetData>
    <row r="1" spans="1:14" x14ac:dyDescent="0.25">
      <c r="A1" t="s">
        <v>6</v>
      </c>
      <c r="B1">
        <v>60</v>
      </c>
      <c r="E1" s="1" t="s">
        <v>34</v>
      </c>
      <c r="F1" s="1"/>
      <c r="G1" s="1"/>
      <c r="H1" s="1"/>
      <c r="I1" s="1"/>
      <c r="J1" s="1"/>
    </row>
    <row r="2" spans="1:14" x14ac:dyDescent="0.25">
      <c r="A2" t="s">
        <v>7</v>
      </c>
      <c r="B2">
        <v>65</v>
      </c>
      <c r="E2" s="1" t="s">
        <v>33</v>
      </c>
      <c r="F2" s="1"/>
      <c r="G2" s="1"/>
      <c r="H2" s="1"/>
      <c r="I2" s="1"/>
      <c r="J2" s="1"/>
    </row>
    <row r="3" spans="1:14" x14ac:dyDescent="0.25">
      <c r="A3" t="s">
        <v>8</v>
      </c>
      <c r="B3">
        <v>70</v>
      </c>
      <c r="E3" s="1" t="s">
        <v>35</v>
      </c>
      <c r="F3" s="1"/>
      <c r="G3" s="1"/>
      <c r="H3" s="1"/>
      <c r="I3" s="1"/>
      <c r="J3" s="1"/>
    </row>
    <row r="4" spans="1:14" x14ac:dyDescent="0.25">
      <c r="A4" t="s">
        <v>9</v>
      </c>
      <c r="B4">
        <v>75</v>
      </c>
      <c r="E4" s="1" t="s">
        <v>36</v>
      </c>
      <c r="F4" s="1"/>
      <c r="G4" s="1"/>
      <c r="H4" s="1"/>
      <c r="I4" s="1"/>
      <c r="J4" s="1"/>
    </row>
    <row r="7" spans="1:14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0</v>
      </c>
      <c r="H7" t="s">
        <v>1</v>
      </c>
      <c r="I7" t="s">
        <v>2</v>
      </c>
      <c r="J7" t="s">
        <v>3</v>
      </c>
      <c r="K7" t="s">
        <v>32</v>
      </c>
      <c r="L7" t="s">
        <v>4</v>
      </c>
      <c r="M7" t="s">
        <v>5</v>
      </c>
      <c r="N7" t="s">
        <v>37</v>
      </c>
    </row>
    <row r="8" spans="1:14" x14ac:dyDescent="0.25">
      <c r="A8">
        <v>1</v>
      </c>
      <c r="B8" t="s">
        <v>11</v>
      </c>
      <c r="C8">
        <v>54</v>
      </c>
      <c r="D8">
        <v>23</v>
      </c>
      <c r="E8">
        <v>95</v>
      </c>
      <c r="F8">
        <v>75</v>
      </c>
      <c r="G8" s="2">
        <f>(C8 * $B$2)/100</f>
        <v>35.1</v>
      </c>
      <c r="H8" s="2">
        <f>(D8 * $B$2)/100</f>
        <v>14.95</v>
      </c>
      <c r="I8" s="2">
        <f>(E8 * $B$3)/100</f>
        <v>66.5</v>
      </c>
      <c r="J8" s="2">
        <f>(F8 * $B$4)/100</f>
        <v>56.25</v>
      </c>
      <c r="K8">
        <f>SUM(C8:F8)</f>
        <v>247</v>
      </c>
      <c r="L8">
        <f>AVERAGE(C8:F8)</f>
        <v>61.75</v>
      </c>
      <c r="M8" t="str">
        <f>IF((L8 &gt; 50), "Pass", "Fail")</f>
        <v>Pass</v>
      </c>
      <c r="N8" t="str">
        <f>IF(L8&gt;90, "Distinction", IF(L8&gt;80, "A+", IF(L8&gt;70, "A", IF(L8&gt;60, "B+", IF(L8&gt;50, "B", "Otherwise")))))</f>
        <v>B+</v>
      </c>
    </row>
    <row r="9" spans="1:14" x14ac:dyDescent="0.25">
      <c r="A9">
        <v>2</v>
      </c>
      <c r="B9" t="s">
        <v>12</v>
      </c>
      <c r="C9">
        <v>85</v>
      </c>
      <c r="D9">
        <v>95</v>
      </c>
      <c r="E9">
        <v>85</v>
      </c>
      <c r="F9">
        <v>65</v>
      </c>
      <c r="G9" s="2">
        <f t="shared" ref="G9:G22" si="0">(C9 * $B$2)/100</f>
        <v>55.25</v>
      </c>
      <c r="H9" s="2">
        <f t="shared" ref="H9:H22" si="1">(D9 * $B$2)/100</f>
        <v>61.75</v>
      </c>
      <c r="I9" s="2">
        <f t="shared" ref="I9:I22" si="2">(E9 * $B$3)/100</f>
        <v>59.5</v>
      </c>
      <c r="J9" s="2">
        <f t="shared" ref="J9:J22" si="3">(F9 * $B$4)/100</f>
        <v>48.75</v>
      </c>
      <c r="K9">
        <f t="shared" ref="K9:K22" si="4">SUM(C9:F9)</f>
        <v>330</v>
      </c>
      <c r="L9">
        <f t="shared" ref="L9:L21" si="5">AVERAGE(C9:F9)</f>
        <v>82.5</v>
      </c>
      <c r="M9" t="str">
        <f t="shared" ref="M9:M22" si="6">IF((L9 &gt; 50), "Pass", "Fail")</f>
        <v>Pass</v>
      </c>
      <c r="N9" t="str">
        <f t="shared" ref="N9:N22" si="7">IF(L9&gt;90, "Distinction", IF(L9&gt;80, "A+", IF(L9&gt;70, "A", IF(L9&gt;60, "B+", IF(L9&gt;50, "B", "Otherwise")))))</f>
        <v>A+</v>
      </c>
    </row>
    <row r="10" spans="1:14" x14ac:dyDescent="0.25">
      <c r="A10">
        <v>3</v>
      </c>
      <c r="B10" t="s">
        <v>13</v>
      </c>
      <c r="C10">
        <v>75</v>
      </c>
      <c r="D10">
        <v>65</v>
      </c>
      <c r="E10">
        <v>0</v>
      </c>
      <c r="F10">
        <v>99</v>
      </c>
      <c r="G10" s="2">
        <f t="shared" si="0"/>
        <v>48.75</v>
      </c>
      <c r="H10" s="2">
        <f t="shared" si="1"/>
        <v>42.25</v>
      </c>
      <c r="I10" s="2">
        <f t="shared" si="2"/>
        <v>0</v>
      </c>
      <c r="J10" s="2">
        <f t="shared" si="3"/>
        <v>74.25</v>
      </c>
      <c r="K10">
        <f t="shared" si="4"/>
        <v>239</v>
      </c>
      <c r="L10">
        <f t="shared" si="5"/>
        <v>59.75</v>
      </c>
      <c r="M10" t="str">
        <f t="shared" si="6"/>
        <v>Pass</v>
      </c>
      <c r="N10" t="str">
        <f t="shared" si="7"/>
        <v>B</v>
      </c>
    </row>
    <row r="11" spans="1:14" x14ac:dyDescent="0.25">
      <c r="A11">
        <v>4</v>
      </c>
      <c r="B11" t="s">
        <v>14</v>
      </c>
      <c r="C11">
        <v>100</v>
      </c>
      <c r="D11">
        <v>100</v>
      </c>
      <c r="E11" t="s">
        <v>10</v>
      </c>
      <c r="F11">
        <v>100</v>
      </c>
      <c r="G11" s="2">
        <f t="shared" si="0"/>
        <v>65</v>
      </c>
      <c r="H11" s="2">
        <f t="shared" si="1"/>
        <v>65</v>
      </c>
      <c r="I11" s="2" t="e">
        <f t="shared" si="2"/>
        <v>#VALUE!</v>
      </c>
      <c r="J11" s="2">
        <f t="shared" si="3"/>
        <v>75</v>
      </c>
      <c r="K11">
        <f t="shared" si="4"/>
        <v>300</v>
      </c>
      <c r="L11">
        <f t="shared" si="5"/>
        <v>100</v>
      </c>
      <c r="M11" t="str">
        <f t="shared" si="6"/>
        <v>Pass</v>
      </c>
      <c r="N11" t="str">
        <f t="shared" si="7"/>
        <v>Distinction</v>
      </c>
    </row>
    <row r="12" spans="1:14" x14ac:dyDescent="0.25">
      <c r="A12">
        <v>5</v>
      </c>
      <c r="B12" t="s">
        <v>15</v>
      </c>
      <c r="C12">
        <v>55</v>
      </c>
      <c r="D12">
        <v>65</v>
      </c>
      <c r="E12">
        <v>66</v>
      </c>
      <c r="F12">
        <v>88</v>
      </c>
      <c r="G12" s="2">
        <f t="shared" si="0"/>
        <v>35.75</v>
      </c>
      <c r="H12" s="2">
        <f t="shared" si="1"/>
        <v>42.25</v>
      </c>
      <c r="I12" s="2">
        <f t="shared" si="2"/>
        <v>46.2</v>
      </c>
      <c r="J12" s="2">
        <f t="shared" si="3"/>
        <v>66</v>
      </c>
      <c r="K12">
        <f t="shared" si="4"/>
        <v>274</v>
      </c>
      <c r="L12">
        <f t="shared" si="5"/>
        <v>68.5</v>
      </c>
      <c r="M12" t="str">
        <f t="shared" si="6"/>
        <v>Pass</v>
      </c>
      <c r="N12" t="str">
        <f t="shared" si="7"/>
        <v>B+</v>
      </c>
    </row>
    <row r="13" spans="1:14" x14ac:dyDescent="0.25">
      <c r="A13">
        <v>6</v>
      </c>
      <c r="B13" t="s">
        <v>16</v>
      </c>
      <c r="C13">
        <v>78</v>
      </c>
      <c r="D13" t="s">
        <v>10</v>
      </c>
      <c r="E13">
        <v>99</v>
      </c>
      <c r="F13">
        <v>88</v>
      </c>
      <c r="G13" s="2">
        <f t="shared" si="0"/>
        <v>50.7</v>
      </c>
      <c r="H13" s="2" t="e">
        <f t="shared" si="1"/>
        <v>#VALUE!</v>
      </c>
      <c r="I13" s="2">
        <f t="shared" si="2"/>
        <v>69.3</v>
      </c>
      <c r="J13" s="2">
        <f t="shared" si="3"/>
        <v>66</v>
      </c>
      <c r="K13">
        <f t="shared" si="4"/>
        <v>265</v>
      </c>
      <c r="L13">
        <f t="shared" si="5"/>
        <v>88.333333333333329</v>
      </c>
      <c r="M13" t="str">
        <f t="shared" si="6"/>
        <v>Pass</v>
      </c>
      <c r="N13" t="str">
        <f t="shared" si="7"/>
        <v>A+</v>
      </c>
    </row>
    <row r="14" spans="1:14" x14ac:dyDescent="0.25">
      <c r="A14">
        <v>7</v>
      </c>
      <c r="B14" t="s">
        <v>17</v>
      </c>
      <c r="C14">
        <v>65</v>
      </c>
      <c r="D14">
        <v>88</v>
      </c>
      <c r="E14">
        <v>55</v>
      </c>
      <c r="F14">
        <v>65</v>
      </c>
      <c r="G14" s="2">
        <f t="shared" si="0"/>
        <v>42.25</v>
      </c>
      <c r="H14" s="2">
        <f t="shared" si="1"/>
        <v>57.2</v>
      </c>
      <c r="I14" s="2">
        <f t="shared" si="2"/>
        <v>38.5</v>
      </c>
      <c r="J14" s="2">
        <f t="shared" si="3"/>
        <v>48.75</v>
      </c>
      <c r="K14">
        <f t="shared" si="4"/>
        <v>273</v>
      </c>
      <c r="L14">
        <f t="shared" si="5"/>
        <v>68.25</v>
      </c>
      <c r="M14" t="str">
        <f t="shared" si="6"/>
        <v>Pass</v>
      </c>
      <c r="N14" t="str">
        <f t="shared" si="7"/>
        <v>B+</v>
      </c>
    </row>
    <row r="15" spans="1:14" x14ac:dyDescent="0.25">
      <c r="A15">
        <v>8</v>
      </c>
      <c r="B15" t="s">
        <v>18</v>
      </c>
      <c r="C15">
        <v>86</v>
      </c>
      <c r="D15">
        <v>77</v>
      </c>
      <c r="E15">
        <v>65</v>
      </c>
      <c r="F15">
        <v>85</v>
      </c>
      <c r="G15" s="2">
        <f t="shared" si="0"/>
        <v>55.9</v>
      </c>
      <c r="H15" s="2">
        <f t="shared" si="1"/>
        <v>50.05</v>
      </c>
      <c r="I15" s="2">
        <f t="shared" si="2"/>
        <v>45.5</v>
      </c>
      <c r="J15" s="2">
        <f t="shared" si="3"/>
        <v>63.75</v>
      </c>
      <c r="K15">
        <f t="shared" si="4"/>
        <v>313</v>
      </c>
      <c r="L15">
        <f t="shared" si="5"/>
        <v>78.25</v>
      </c>
      <c r="M15" t="str">
        <f t="shared" si="6"/>
        <v>Pass</v>
      </c>
      <c r="N15" t="str">
        <f t="shared" si="7"/>
        <v>A</v>
      </c>
    </row>
    <row r="16" spans="1:14" x14ac:dyDescent="0.25">
      <c r="A16">
        <v>9</v>
      </c>
      <c r="B16" t="s">
        <v>19</v>
      </c>
      <c r="C16">
        <v>96</v>
      </c>
      <c r="D16">
        <v>66</v>
      </c>
      <c r="E16">
        <v>95</v>
      </c>
      <c r="F16" t="s">
        <v>10</v>
      </c>
      <c r="G16" s="2">
        <f t="shared" si="0"/>
        <v>62.4</v>
      </c>
      <c r="H16" s="2">
        <f t="shared" si="1"/>
        <v>42.9</v>
      </c>
      <c r="I16" s="2">
        <f t="shared" si="2"/>
        <v>66.5</v>
      </c>
      <c r="J16" s="2" t="e">
        <f t="shared" si="3"/>
        <v>#VALUE!</v>
      </c>
      <c r="K16">
        <f t="shared" si="4"/>
        <v>257</v>
      </c>
      <c r="L16">
        <f t="shared" si="5"/>
        <v>85.666666666666671</v>
      </c>
      <c r="M16" t="str">
        <f t="shared" si="6"/>
        <v>Pass</v>
      </c>
      <c r="N16" t="str">
        <f t="shared" si="7"/>
        <v>A+</v>
      </c>
    </row>
    <row r="17" spans="1:14" x14ac:dyDescent="0.25">
      <c r="A17">
        <v>10</v>
      </c>
      <c r="B17" t="s">
        <v>20</v>
      </c>
      <c r="C17">
        <v>57</v>
      </c>
      <c r="D17">
        <v>55</v>
      </c>
      <c r="E17">
        <v>85</v>
      </c>
      <c r="F17">
        <v>0</v>
      </c>
      <c r="G17" s="2">
        <f t="shared" si="0"/>
        <v>37.049999999999997</v>
      </c>
      <c r="H17" s="2">
        <f t="shared" si="1"/>
        <v>35.75</v>
      </c>
      <c r="I17" s="2">
        <f t="shared" si="2"/>
        <v>59.5</v>
      </c>
      <c r="J17" s="2">
        <f t="shared" si="3"/>
        <v>0</v>
      </c>
      <c r="K17">
        <f t="shared" si="4"/>
        <v>197</v>
      </c>
      <c r="L17">
        <f t="shared" si="5"/>
        <v>49.25</v>
      </c>
      <c r="M17" t="str">
        <f t="shared" si="6"/>
        <v>Fail</v>
      </c>
      <c r="N17" t="str">
        <f t="shared" si="7"/>
        <v>Otherwise</v>
      </c>
    </row>
    <row r="18" spans="1:14" x14ac:dyDescent="0.25">
      <c r="A18">
        <v>11</v>
      </c>
      <c r="B18" t="s">
        <v>21</v>
      </c>
      <c r="C18">
        <v>21</v>
      </c>
      <c r="D18">
        <v>88</v>
      </c>
      <c r="E18">
        <v>75</v>
      </c>
      <c r="F18">
        <v>85</v>
      </c>
      <c r="G18" s="2">
        <f t="shared" si="0"/>
        <v>13.65</v>
      </c>
      <c r="H18" s="2">
        <f t="shared" si="1"/>
        <v>57.2</v>
      </c>
      <c r="I18" s="2">
        <f t="shared" si="2"/>
        <v>52.5</v>
      </c>
      <c r="J18" s="2">
        <f t="shared" si="3"/>
        <v>63.75</v>
      </c>
      <c r="K18">
        <f t="shared" si="4"/>
        <v>269</v>
      </c>
      <c r="L18">
        <f t="shared" si="5"/>
        <v>67.25</v>
      </c>
      <c r="M18" t="str">
        <f t="shared" si="6"/>
        <v>Pass</v>
      </c>
      <c r="N18" t="str">
        <f t="shared" si="7"/>
        <v>B+</v>
      </c>
    </row>
    <row r="19" spans="1:14" x14ac:dyDescent="0.25">
      <c r="A19">
        <v>12</v>
      </c>
      <c r="B19" t="s">
        <v>22</v>
      </c>
      <c r="C19">
        <v>58</v>
      </c>
      <c r="D19">
        <v>79</v>
      </c>
      <c r="E19">
        <v>45</v>
      </c>
      <c r="F19">
        <v>95</v>
      </c>
      <c r="G19" s="2">
        <f t="shared" si="0"/>
        <v>37.700000000000003</v>
      </c>
      <c r="H19" s="2">
        <f t="shared" si="1"/>
        <v>51.35</v>
      </c>
      <c r="I19" s="2">
        <f t="shared" si="2"/>
        <v>31.5</v>
      </c>
      <c r="J19" s="2">
        <f t="shared" si="3"/>
        <v>71.25</v>
      </c>
      <c r="K19">
        <f t="shared" si="4"/>
        <v>277</v>
      </c>
      <c r="L19">
        <f t="shared" si="5"/>
        <v>69.25</v>
      </c>
      <c r="M19" t="str">
        <f t="shared" si="6"/>
        <v>Pass</v>
      </c>
      <c r="N19" t="str">
        <f t="shared" si="7"/>
        <v>B+</v>
      </c>
    </row>
    <row r="20" spans="1:14" x14ac:dyDescent="0.25">
      <c r="A20">
        <v>13</v>
      </c>
      <c r="B20" t="s">
        <v>23</v>
      </c>
      <c r="C20">
        <v>48</v>
      </c>
      <c r="D20">
        <v>23</v>
      </c>
      <c r="E20">
        <v>98</v>
      </c>
      <c r="F20">
        <v>75</v>
      </c>
      <c r="G20" s="2">
        <f t="shared" si="0"/>
        <v>31.2</v>
      </c>
      <c r="H20" s="2">
        <f t="shared" si="1"/>
        <v>14.95</v>
      </c>
      <c r="I20" s="2">
        <f t="shared" si="2"/>
        <v>68.599999999999994</v>
      </c>
      <c r="J20" s="2">
        <f t="shared" si="3"/>
        <v>56.25</v>
      </c>
      <c r="K20">
        <f t="shared" si="4"/>
        <v>244</v>
      </c>
      <c r="L20">
        <f t="shared" si="5"/>
        <v>61</v>
      </c>
      <c r="M20" t="str">
        <f t="shared" si="6"/>
        <v>Pass</v>
      </c>
      <c r="N20" t="str">
        <f t="shared" si="7"/>
        <v>B+</v>
      </c>
    </row>
    <row r="21" spans="1:14" x14ac:dyDescent="0.25">
      <c r="A21">
        <v>14</v>
      </c>
      <c r="B21" t="s">
        <v>24</v>
      </c>
      <c r="C21">
        <v>95</v>
      </c>
      <c r="D21">
        <v>56</v>
      </c>
      <c r="E21">
        <v>75</v>
      </c>
      <c r="F21">
        <v>65</v>
      </c>
      <c r="G21" s="2">
        <f t="shared" si="0"/>
        <v>61.75</v>
      </c>
      <c r="H21" s="2">
        <f t="shared" si="1"/>
        <v>36.4</v>
      </c>
      <c r="I21" s="2">
        <f t="shared" si="2"/>
        <v>52.5</v>
      </c>
      <c r="J21" s="2">
        <f t="shared" si="3"/>
        <v>48.75</v>
      </c>
      <c r="K21">
        <f t="shared" si="4"/>
        <v>291</v>
      </c>
      <c r="L21">
        <f t="shared" si="5"/>
        <v>72.75</v>
      </c>
      <c r="M21" t="str">
        <f t="shared" si="6"/>
        <v>Pass</v>
      </c>
      <c r="N21" t="str">
        <f t="shared" si="7"/>
        <v>A</v>
      </c>
    </row>
    <row r="22" spans="1:14" x14ac:dyDescent="0.25">
      <c r="A22">
        <v>15</v>
      </c>
      <c r="B22" t="s">
        <v>25</v>
      </c>
      <c r="C22">
        <v>99</v>
      </c>
      <c r="D22">
        <v>89</v>
      </c>
      <c r="E22">
        <v>96</v>
      </c>
      <c r="F22">
        <v>88</v>
      </c>
      <c r="G22" s="2">
        <f t="shared" si="0"/>
        <v>64.349999999999994</v>
      </c>
      <c r="H22" s="2">
        <f t="shared" si="1"/>
        <v>57.85</v>
      </c>
      <c r="I22" s="2">
        <f t="shared" si="2"/>
        <v>67.2</v>
      </c>
      <c r="J22" s="2">
        <f t="shared" si="3"/>
        <v>66</v>
      </c>
      <c r="K22">
        <f t="shared" si="4"/>
        <v>372</v>
      </c>
      <c r="L22">
        <f>AVERAGE(C22:F22)</f>
        <v>93</v>
      </c>
      <c r="M22" t="str">
        <f t="shared" si="6"/>
        <v>Pass</v>
      </c>
      <c r="N22" t="str">
        <f t="shared" si="7"/>
        <v>Distinction</v>
      </c>
    </row>
  </sheetData>
  <mergeCells count="4">
    <mergeCell ref="E1:J1"/>
    <mergeCell ref="E2:J2"/>
    <mergeCell ref="E3:J3"/>
    <mergeCell ref="E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2026-09-22T09:08:12Z</dcterms:modified>
</cp:coreProperties>
</file>