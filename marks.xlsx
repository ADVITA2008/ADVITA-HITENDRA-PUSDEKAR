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<sst xmlns="http://schemas.openxmlformats.org/spreadsheetml/2006/main" count="30" uniqueCount="30">
  <si>
    <t>Sr.No</t>
  </si>
  <si>
    <t>Name</t>
  </si>
  <si>
    <t>English</t>
  </si>
  <si>
    <t>Maths</t>
  </si>
  <si>
    <t>Science</t>
  </si>
  <si>
    <t>Computer</t>
  </si>
  <si>
    <t>Advita</t>
  </si>
  <si>
    <t>Prarthana</t>
  </si>
  <si>
    <t>Ananya</t>
  </si>
  <si>
    <t>Astha</t>
  </si>
  <si>
    <t>Vedant</t>
  </si>
  <si>
    <t>Sai Mukesh</t>
  </si>
  <si>
    <t>Anirudh</t>
  </si>
  <si>
    <t>Aadya</t>
  </si>
  <si>
    <t>Viona</t>
  </si>
  <si>
    <t>Sarthak</t>
  </si>
  <si>
    <t>Shivam</t>
  </si>
  <si>
    <t>Vaishali</t>
  </si>
  <si>
    <t>Hitendra</t>
  </si>
  <si>
    <t>Radhika</t>
  </si>
  <si>
    <t>Sayali</t>
  </si>
  <si>
    <t>Prashant</t>
  </si>
  <si>
    <t>Vikrant</t>
  </si>
  <si>
    <t>Mishant</t>
  </si>
  <si>
    <t>Manasi</t>
  </si>
  <si>
    <t>Mayur</t>
  </si>
  <si>
    <t>TOTAL</t>
  </si>
  <si>
    <t>PERCENTAGE</t>
  </si>
  <si>
    <t>RESULT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</si>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</sst>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160" zoomScaleNormal="160" workbookViewId="0">
      <selection activeCell="J2" sqref="J2"/>
    </sheetView>
  </sheetViews>
  <sheetFormatPr defaultRowHeight="15" x14ac:dyDescent="0.25"/>
  <cols>
    <col min="2" max="2" width="11.5703125" customWidth="1"/>
    <col min="8" max="8" width="11.85546875" customWidth="1"/>
    <col min="9" max="9" width="25.42578125" customWidth="1"/>
    <col min="10" max="10" width="19" customWidth="1"/>
    <col min="11" max="11" width="43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x14ac:dyDescent="0.25">
      <c r="A2" s="2">
        <v>1</v>
      </c>
      <c r="B2" t="s">
        <v>6</v>
      </c>
      <c r="C2">
        <v>98</v>
      </c>
      <c r="D2">
        <v>95</v>
      </c>
      <c r="E2">
        <v>97</v>
      </c>
      <c r="F2">
        <v>99</v>
      </c>
      <c r="G2">
        <f>SUM(C2:F2)</f>
        <v>389</v>
      </c>
      <c r="H2">
        <f>AVERAGE(C2:F2)</f>
        <v>97.25</v>
      </c>
      <c r="I2" t="str">
        <f>IF(MIN(C2:F2)&gt;=50,"PASS","FAIL")</f>
        <v>PASS</v>
      </c>
      <c r="J2" t="str">
        <f>IF(I2="FAIL","",IF(H2&gt;=90,"A+",IF(H2&gt;=80,"A",IF(H2&gt;=70,"B+",IF(H2&gt;=60,"B",IF(H2&gt;=55,"C",IF(H2&gt;=50,"D","F")))))))</f>
        <v>A+</v>
      </c>
    </row>
    <row r="3" spans="1:10" x14ac:dyDescent="0.25">
      <c r="A3" s="2">
        <v>2</v>
      </c>
      <c r="B3" t="s">
        <v>7</v>
      </c>
      <c r="C3">
        <v>91</v>
      </c>
      <c r="D3">
        <v>92</v>
      </c>
      <c r="E3">
        <v>90</v>
      </c>
      <c r="F3">
        <v>90</v>
      </c>
      <c r="G3">
        <f t="shared" ref="G3:G21" si="0">SUM(C3:F3)</f>
        <v>363</v>
      </c>
      <c r="H3">
        <f t="shared" ref="H3:H21" si="1">AVERAGE(C3:F3)</f>
        <v>90.75</v>
      </c>
      <c r="I3" t="str">
        <f t="shared" ref="I3:I21" si="2">IF(MIN(C3:F3)&gt;=50,"PASS","FAIL")</f>
        <v>PASS</v>
      </c>
      <c r="J3" t="str">
        <f t="shared" ref="J3:J21" si="3">IF(H3&gt;=90,"A+",IF(H3&gt;=80,"A",IF(H3&gt;=70,"B+",IF(H3&gt;=60,"B",IF(H3&gt;=55,"C",IF(H3&gt;=50,"D","F"))))))</f>
        <v>A+</v>
      </c>
    </row>
    <row r="4" spans="1:10" x14ac:dyDescent="0.25">
      <c r="A4" s="2">
        <v>3</v>
      </c>
      <c r="B4" t="s">
        <v>8</v>
      </c>
      <c r="C4">
        <v>81</v>
      </c>
      <c r="D4">
        <v>90</v>
      </c>
      <c r="E4">
        <v>45</v>
      </c>
      <c r="F4">
        <v>95</v>
      </c>
      <c r="G4">
        <f t="shared" si="0"/>
        <v>311</v>
      </c>
      <c r="H4">
        <f t="shared" si="1"/>
        <v>77.75</v>
      </c>
      <c r="I4" t="str">
        <f t="shared" si="2"/>
        <v>FAIL</v>
      </c>
      <c r="J4" t="str">
        <f t="shared" si="3"/>
        <v>B+</v>
      </c>
    </row>
    <row r="5" spans="1:10" x14ac:dyDescent="0.25">
      <c r="A5" s="2">
        <v>4</v>
      </c>
      <c r="B5" t="s">
        <v>9</v>
      </c>
      <c r="C5">
        <v>89</v>
      </c>
      <c r="D5">
        <v>35</v>
      </c>
      <c r="E5">
        <v>97</v>
      </c>
      <c r="F5">
        <v>90</v>
      </c>
      <c r="G5">
        <f t="shared" si="0"/>
        <v>311</v>
      </c>
      <c r="H5">
        <f t="shared" si="1"/>
        <v>77.75</v>
      </c>
      <c r="I5" t="str">
        <f t="shared" si="2"/>
        <v>FAIL</v>
      </c>
      <c r="J5" t="str">
        <f t="shared" si="3"/>
        <v>B+</v>
      </c>
    </row>
    <row r="6" spans="1:10" x14ac:dyDescent="0.25">
      <c r="A6" s="2">
        <v>5</v>
      </c>
      <c r="B6" t="s">
        <v>10</v>
      </c>
      <c r="C6">
        <v>97</v>
      </c>
      <c r="D6">
        <v>89</v>
      </c>
      <c r="E6">
        <v>95</v>
      </c>
      <c r="F6">
        <v>85</v>
      </c>
      <c r="G6">
        <f t="shared" si="0"/>
        <v>366</v>
      </c>
      <c r="H6">
        <f t="shared" si="1"/>
        <v>91.5</v>
      </c>
      <c r="I6" t="str">
        <f t="shared" si="2"/>
        <v>PASS</v>
      </c>
      <c r="J6" t="str">
        <f t="shared" si="3"/>
        <v>A+</v>
      </c>
    </row>
    <row r="7" spans="1:10" x14ac:dyDescent="0.25">
      <c r="A7" s="2">
        <v>6</v>
      </c>
      <c r="B7" t="s">
        <v>11</v>
      </c>
      <c r="C7">
        <v>100</v>
      </c>
      <c r="D7">
        <v>99</v>
      </c>
      <c r="E7">
        <v>100</v>
      </c>
      <c r="F7">
        <v>99</v>
      </c>
      <c r="G7">
        <f t="shared" si="0"/>
        <v>398</v>
      </c>
      <c r="H7">
        <f t="shared" si="1"/>
        <v>99.5</v>
      </c>
      <c r="I7" t="str">
        <f t="shared" si="2"/>
        <v>PASS</v>
      </c>
      <c r="J7" t="str">
        <f t="shared" si="3"/>
        <v>A+</v>
      </c>
    </row>
    <row r="8" spans="1:10" x14ac:dyDescent="0.25">
      <c r="A8" s="2">
        <v>7</v>
      </c>
      <c r="B8" t="s">
        <v>12</v>
      </c>
      <c r="C8">
        <v>86</v>
      </c>
      <c r="D8">
        <v>44</v>
      </c>
      <c r="E8">
        <v>88</v>
      </c>
      <c r="F8">
        <v>79</v>
      </c>
      <c r="G8">
        <f t="shared" si="0"/>
        <v>297</v>
      </c>
      <c r="H8">
        <f t="shared" si="1"/>
        <v>74.25</v>
      </c>
      <c r="I8" t="str">
        <f t="shared" si="2"/>
        <v>FAIL</v>
      </c>
      <c r="J8" t="str">
        <f t="shared" si="3"/>
        <v>B+</v>
      </c>
    </row>
    <row r="9" spans="1:10" x14ac:dyDescent="0.25">
      <c r="A9" s="2">
        <v>8</v>
      </c>
      <c r="B9" t="s">
        <v>13</v>
      </c>
      <c r="C9">
        <v>99</v>
      </c>
      <c r="D9">
        <v>86</v>
      </c>
      <c r="E9">
        <v>75</v>
      </c>
      <c r="F9">
        <v>90</v>
      </c>
      <c r="G9">
        <f t="shared" si="0"/>
        <v>350</v>
      </c>
      <c r="H9">
        <f t="shared" si="1"/>
        <v>87.5</v>
      </c>
      <c r="I9" t="str">
        <f t="shared" si="2"/>
        <v>PASS</v>
      </c>
      <c r="J9" t="str">
        <f t="shared" si="3"/>
        <v>A</v>
      </c>
    </row>
    <row r="10" spans="1:10" x14ac:dyDescent="0.25">
      <c r="A10" s="2">
        <v>9</v>
      </c>
      <c r="B10" t="s">
        <v>14</v>
      </c>
      <c r="C10">
        <v>75</v>
      </c>
      <c r="D10">
        <v>79</v>
      </c>
      <c r="E10">
        <v>49</v>
      </c>
      <c r="F10">
        <v>76</v>
      </c>
      <c r="G10">
        <f t="shared" si="0"/>
        <v>279</v>
      </c>
      <c r="H10">
        <f t="shared" si="1"/>
        <v>69.75</v>
      </c>
      <c r="I10" t="str">
        <f t="shared" si="2"/>
        <v>FAIL</v>
      </c>
      <c r="J10" t="str">
        <f t="shared" si="3"/>
        <v>B</v>
      </c>
    </row>
    <row r="11" spans="1:10" x14ac:dyDescent="0.25">
      <c r="A11" s="2">
        <v>10</v>
      </c>
      <c r="B11" t="s">
        <v>15</v>
      </c>
      <c r="C11">
        <v>70</v>
      </c>
      <c r="D11">
        <v>88</v>
      </c>
      <c r="E11">
        <v>69</v>
      </c>
      <c r="F11">
        <v>70</v>
      </c>
      <c r="G11">
        <f t="shared" si="0"/>
        <v>297</v>
      </c>
      <c r="H11">
        <f t="shared" si="1"/>
        <v>74.25</v>
      </c>
      <c r="I11" t="str">
        <f t="shared" si="2"/>
        <v>PASS</v>
      </c>
      <c r="J11" t="str">
        <f t="shared" si="3"/>
        <v>B+</v>
      </c>
    </row>
    <row r="12" spans="1:10" x14ac:dyDescent="0.25">
      <c r="A12" s="2">
        <v>11</v>
      </c>
      <c r="B12" t="s">
        <v>16</v>
      </c>
      <c r="C12">
        <v>90</v>
      </c>
      <c r="D12">
        <v>77</v>
      </c>
      <c r="E12">
        <v>97</v>
      </c>
      <c r="F12">
        <v>50</v>
      </c>
      <c r="G12">
        <f t="shared" si="0"/>
        <v>314</v>
      </c>
      <c r="H12">
        <f t="shared" si="1"/>
        <v>78.5</v>
      </c>
      <c r="I12" t="str">
        <f t="shared" si="2"/>
        <v>PASS</v>
      </c>
      <c r="J12" t="str">
        <f t="shared" si="3"/>
        <v>B+</v>
      </c>
    </row>
    <row r="13" spans="1:10" x14ac:dyDescent="0.25">
      <c r="A13" s="2">
        <v>12</v>
      </c>
      <c r="B13" t="s">
        <v>17</v>
      </c>
      <c r="C13">
        <v>99</v>
      </c>
      <c r="D13">
        <v>100</v>
      </c>
      <c r="E13">
        <v>95</v>
      </c>
      <c r="F13">
        <v>90</v>
      </c>
      <c r="G13">
        <f t="shared" si="0"/>
        <v>384</v>
      </c>
      <c r="H13">
        <f t="shared" si="1"/>
        <v>96</v>
      </c>
      <c r="I13" t="str">
        <f t="shared" si="2"/>
        <v>PASS</v>
      </c>
      <c r="J13" t="str">
        <f t="shared" si="3"/>
        <v>A+</v>
      </c>
    </row>
    <row r="14" spans="1:10" x14ac:dyDescent="0.25">
      <c r="A14" s="2">
        <v>13</v>
      </c>
      <c r="B14" t="s">
        <v>18</v>
      </c>
      <c r="C14">
        <v>100</v>
      </c>
      <c r="D14">
        <v>100</v>
      </c>
      <c r="E14">
        <v>100</v>
      </c>
      <c r="F14">
        <v>100</v>
      </c>
      <c r="G14">
        <f t="shared" si="0"/>
        <v>400</v>
      </c>
      <c r="H14">
        <f t="shared" si="1"/>
        <v>100</v>
      </c>
      <c r="I14" t="str">
        <f t="shared" si="2"/>
        <v>PASS</v>
      </c>
      <c r="J14" t="str">
        <f t="shared" si="3"/>
        <v>A+</v>
      </c>
    </row>
    <row r="15" spans="1:10" x14ac:dyDescent="0.25">
      <c r="A15" s="2">
        <v>14</v>
      </c>
      <c r="B15" t="s">
        <v>19</v>
      </c>
      <c r="C15">
        <v>95</v>
      </c>
      <c r="D15">
        <v>80</v>
      </c>
      <c r="E15">
        <v>89</v>
      </c>
      <c r="F15">
        <v>95</v>
      </c>
      <c r="G15">
        <f t="shared" si="0"/>
        <v>359</v>
      </c>
      <c r="H15">
        <f t="shared" si="1"/>
        <v>89.75</v>
      </c>
      <c r="I15" t="str">
        <f t="shared" si="2"/>
        <v>PASS</v>
      </c>
      <c r="J15" t="str">
        <f t="shared" si="3"/>
        <v>A</v>
      </c>
    </row>
    <row r="16" spans="1:10" x14ac:dyDescent="0.25">
      <c r="A16" s="2">
        <v>15</v>
      </c>
      <c r="B16" t="s">
        <v>20</v>
      </c>
      <c r="C16">
        <v>76</v>
      </c>
      <c r="D16">
        <v>79</v>
      </c>
      <c r="E16">
        <v>87</v>
      </c>
      <c r="F16">
        <v>80</v>
      </c>
      <c r="G16">
        <f t="shared" si="0"/>
        <v>322</v>
      </c>
      <c r="H16">
        <f t="shared" si="1"/>
        <v>80.5</v>
      </c>
      <c r="I16" t="str">
        <f t="shared" si="2"/>
        <v>PASS</v>
      </c>
      <c r="J16" t="str">
        <f t="shared" si="3"/>
        <v>A</v>
      </c>
    </row>
    <row r="17" spans="1:10" x14ac:dyDescent="0.25">
      <c r="A17" s="2">
        <v>16</v>
      </c>
      <c r="B17" t="s">
        <v>21</v>
      </c>
      <c r="C17">
        <v>99</v>
      </c>
      <c r="D17">
        <v>95</v>
      </c>
      <c r="E17">
        <v>90</v>
      </c>
      <c r="F17">
        <v>100</v>
      </c>
      <c r="G17">
        <f t="shared" si="0"/>
        <v>384</v>
      </c>
      <c r="H17">
        <f t="shared" si="1"/>
        <v>96</v>
      </c>
      <c r="I17" t="str">
        <f t="shared" si="2"/>
        <v>PASS</v>
      </c>
      <c r="J17" t="str">
        <f t="shared" si="3"/>
        <v>A+</v>
      </c>
    </row>
    <row r="18" spans="1:10" x14ac:dyDescent="0.25">
      <c r="A18" s="2">
        <v>17</v>
      </c>
      <c r="B18" t="s">
        <v>22</v>
      </c>
      <c r="C18">
        <v>88</v>
      </c>
      <c r="D18">
        <v>90</v>
      </c>
      <c r="E18">
        <v>79</v>
      </c>
      <c r="F18">
        <v>80</v>
      </c>
      <c r="G18">
        <f t="shared" si="0"/>
        <v>337</v>
      </c>
      <c r="H18">
        <f t="shared" si="1"/>
        <v>84.25</v>
      </c>
      <c r="I18" t="str">
        <f t="shared" si="2"/>
        <v>PASS</v>
      </c>
      <c r="J18" t="str">
        <f t="shared" si="3"/>
        <v>A</v>
      </c>
    </row>
    <row r="19" spans="1:10" x14ac:dyDescent="0.25">
      <c r="A19" s="2">
        <v>18</v>
      </c>
      <c r="B19" t="s">
        <v>23</v>
      </c>
      <c r="C19">
        <v>89</v>
      </c>
      <c r="D19">
        <v>75</v>
      </c>
      <c r="E19">
        <v>89</v>
      </c>
      <c r="F19">
        <v>79</v>
      </c>
      <c r="G19">
        <f t="shared" si="0"/>
        <v>332</v>
      </c>
      <c r="H19">
        <f t="shared" si="1"/>
        <v>83</v>
      </c>
      <c r="I19" t="str">
        <f t="shared" si="2"/>
        <v>PASS</v>
      </c>
      <c r="J19" t="str">
        <f t="shared" si="3"/>
        <v>A</v>
      </c>
    </row>
    <row r="20" spans="1:10" x14ac:dyDescent="0.25">
      <c r="A20" s="2">
        <v>19</v>
      </c>
      <c r="B20" t="s">
        <v>24</v>
      </c>
      <c r="C20">
        <v>89</v>
      </c>
      <c r="D20">
        <v>77</v>
      </c>
      <c r="E20">
        <v>79</v>
      </c>
      <c r="F20">
        <v>87</v>
      </c>
      <c r="G20">
        <f t="shared" si="0"/>
        <v>332</v>
      </c>
      <c r="H20">
        <f t="shared" si="1"/>
        <v>83</v>
      </c>
      <c r="I20" t="str">
        <f t="shared" si="2"/>
        <v>PASS</v>
      </c>
      <c r="J20" t="str">
        <f t="shared" si="3"/>
        <v>A</v>
      </c>
    </row>
    <row r="21" spans="1:10" x14ac:dyDescent="0.25">
      <c r="A21" s="2">
        <v>20</v>
      </c>
      <c r="B21" t="s">
        <v>25</v>
      </c>
      <c r="C21">
        <v>88</v>
      </c>
      <c r="D21">
        <v>98</v>
      </c>
      <c r="E21">
        <v>67</v>
      </c>
      <c r="F21">
        <v>95</v>
      </c>
      <c r="G21">
        <f t="shared" si="0"/>
        <v>348</v>
      </c>
      <c r="H21">
        <f t="shared" si="1"/>
        <v>87</v>
      </c>
      <c r="I21" t="str">
        <f t="shared" si="2"/>
        <v>PASS</v>
      </c>
      <c r="J21" t="str">
        <f t="shared" si="3"/>
        <v>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SITNGP-ADMISSION-01</dc:creator>
  <cp:lastModifiedBy>Administrator</cp:lastModifiedBy>
  <dcterms:created xsi:type="dcterms:W3CDTF">2026-09-09T10:20:53Z</dcterms:created>
  <dcterms:modified xsi:type="dcterms:W3CDTF">2026-09-16T11:09:50Z</dcterms:modified>
</cp:coreProperties>
</file>